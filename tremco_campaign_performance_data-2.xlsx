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hidePivotFieldList="1" defaultThemeVersion="166925"/>
  <xr:revisionPtr revIDLastSave="0" documentId="8_{768603BF-C39D-4908-837B-FE2E13BCE7DB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Data Table" sheetId="1" r:id="rId1"/>
    <sheet name="Dashboard" sheetId="2" r:id="rId2"/>
    <sheet name="Revenue by Campaign" sheetId="3" r:id="rId3"/>
    <sheet name="Conversions by Channel" sheetId="4" r:id="rId4"/>
    <sheet name="Profit by Region" sheetId="5" r:id="rId5"/>
  </sheets>
  <calcPr calcId="191028"/>
  <pivotCaches>
    <pivotCache cacheId="35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C4" i="2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<sst xmlns="http://schemas.openxmlformats.org/spreadsheetml/2006/main" count="121" uniqueCount="56">
  <si>
    <t>Campaign_ID</t>
  </si>
  <si>
    <t>Campaign_Name</t>
  </si>
  <si>
    <t>Date</t>
  </si>
  <si>
    <t>Region</t>
  </si>
  <si>
    <t>Customer_Segment</t>
  </si>
  <si>
    <t>Channel</t>
  </si>
  <si>
    <t>Impressions</t>
  </si>
  <si>
    <t>Clicks</t>
  </si>
  <si>
    <t>Leads</t>
  </si>
  <si>
    <t>Conversions</t>
  </si>
  <si>
    <t>Cost</t>
  </si>
  <si>
    <t>Revenue</t>
  </si>
  <si>
    <t>CTR</t>
  </si>
  <si>
    <t>Lead_Rate</t>
  </si>
  <si>
    <t>Conversion_Rate</t>
  </si>
  <si>
    <t>ROAS</t>
  </si>
  <si>
    <t>Profit</t>
  </si>
  <si>
    <t>Commercial Roofing Awareness</t>
  </si>
  <si>
    <t>Northeast</t>
  </si>
  <si>
    <t>Commercial</t>
  </si>
  <si>
    <t>LinkedIn</t>
  </si>
  <si>
    <t>Waterproofing Solutions Campaign</t>
  </si>
  <si>
    <t>Southeast</t>
  </si>
  <si>
    <t>Healthcare</t>
  </si>
  <si>
    <t>Email</t>
  </si>
  <si>
    <t>Healthcare Facility Outreach</t>
  </si>
  <si>
    <t>Midwest</t>
  </si>
  <si>
    <t>Webinar</t>
  </si>
  <si>
    <t>National Accounts Growth Campaign</t>
  </si>
  <si>
    <t>West</t>
  </si>
  <si>
    <t>National Accounts</t>
  </si>
  <si>
    <t>Google Ads</t>
  </si>
  <si>
    <t>Roof Restoration Lead Campaign</t>
  </si>
  <si>
    <t>Southwest</t>
  </si>
  <si>
    <t>Trade Show</t>
  </si>
  <si>
    <t>Institutional Building Solutions</t>
  </si>
  <si>
    <t>Institutional</t>
  </si>
  <si>
    <t>Corporate Accounts Engagement</t>
  </si>
  <si>
    <t>Corporate</t>
  </si>
  <si>
    <t>Preventive Maintenance Campaign</t>
  </si>
  <si>
    <t xml:space="preserve">                               Campaign Performance Dashboard</t>
  </si>
  <si>
    <t>Total Revenue</t>
  </si>
  <si>
    <t>Total Cost</t>
  </si>
  <si>
    <t>Total Profit</t>
  </si>
  <si>
    <t>Total Conversions</t>
  </si>
  <si>
    <t>Average CTR</t>
  </si>
  <si>
    <t>Average Conversion Rate</t>
  </si>
  <si>
    <t>Average ROAS</t>
  </si>
  <si>
    <t xml:space="preserve"> Key Insights:</t>
  </si>
  <si>
    <t>- National Accounts Growth Campaign generated the highest revenue</t>
  </si>
  <si>
    <t>- Google Ads drove the most conversions</t>
  </si>
  <si>
    <t>- West region produced the highest profit</t>
  </si>
  <si>
    <t>Sum of Revenue</t>
  </si>
  <si>
    <t>Grand Total</t>
  </si>
  <si>
    <t>Sum of Conversions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</si>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</sst>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(* #,##0_);_(* \(#,##0\);_(* &quot;-&quot;??_);_(@_)"/>
    <numFmt numFmtId="166" formatCode="&quot;$&quot;#,##0"/>
  </numFmts>
  <fonts count="7">
    <font>
      <sz val="11"/>
      <color theme="1"/>
      <name val="Calibri"/>
      <family val="2"/>
      <scheme val="minor"/>
    </font>
    <font>
      <sz val="13.5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0" fontId="0" fillId="0" borderId="0" xfId="0" pivotButton="1"/>
    <xf numFmtId="0" fontId="4" fillId="0" borderId="0" xfId="0" quotePrefix="1" applyFont="1" applyAlignment="1">
      <alignment wrapText="1"/>
    </xf>
    <xf numFmtId="0" fontId="5" fillId="0" borderId="0" xfId="0" applyFont="1"/>
    <xf numFmtId="0" fontId="5" fillId="0" borderId="0" xfId="0" quotePrefix="1" applyFont="1" applyAlignment="1">
      <alignment wrapText="1"/>
    </xf>
    <xf numFmtId="0" fontId="0" fillId="2" borderId="2" xfId="0" applyFill="1" applyBorder="1"/>
    <xf numFmtId="0" fontId="3" fillId="2" borderId="3" xfId="0" applyFont="1" applyFill="1" applyBorder="1"/>
    <xf numFmtId="166" fontId="2" fillId="2" borderId="4" xfId="0" applyNumberFormat="1" applyFont="1" applyFill="1" applyBorder="1"/>
    <xf numFmtId="0" fontId="2" fillId="2" borderId="4" xfId="0" applyFont="1" applyFill="1" applyBorder="1"/>
    <xf numFmtId="10" fontId="2" fillId="2" borderId="4" xfId="0" applyNumberFormat="1" applyFont="1" applyFill="1" applyBorder="1"/>
    <xf numFmtId="0" fontId="3" fillId="2" borderId="5" xfId="0" applyFont="1" applyFill="1" applyBorder="1"/>
    <xf numFmtId="2" fontId="2" fillId="2" borderId="6" xfId="0" applyNumberFormat="1" applyFont="1" applyFill="1" applyBorder="1"/>
    <xf numFmtId="0" fontId="6" fillId="2" borderId="1" xfId="0" applyFont="1" applyFill="1" applyBorder="1"/>
  </cellXfs>
  <cellStyles count="1">
    <cellStyle name="Normal" xfId="0" builtinId="0"/>
  </cellStyles>
  <dxfs count="11">
    <dxf>
      <numFmt numFmtId="164" formatCode="&quot;$&quot;#,##0.00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9" formatCode="m/d/yyyy"/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[tremco_campaign_performance_data.xlsx]Profit by Region!PivotTable3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Region'!$A$3:$A$8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'Profit by Region'!$B$3:$B$8</c:f>
              <c:numCache>
                <c:formatCode>"$"#,##0.00</c:formatCode>
                <c:ptCount val="5"/>
                <c:pt idx="0">
                  <c:v>58700</c:v>
                </c:pt>
                <c:pt idx="1">
                  <c:v>63500</c:v>
                </c:pt>
                <c:pt idx="2">
                  <c:v>20400</c:v>
                </c:pt>
                <c:pt idx="3">
                  <c:v>31800</c:v>
                </c:pt>
                <c:pt idx="4">
                  <c:v>117300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6-41DD-9D57-769D226E83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1082888"/>
        <c:axId val="1041202696"/>
      </c:barChart>
      <c:catAx>
        <c:axId val="10410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02696"/>
        <c:crosses val="autoZero"/>
        <c:auto val="1"/>
        <c:lblAlgn val="ctr"/>
        <c:lblOffset val="100"/>
        <c:noMultiLvlLbl val="0"/>
      </c:catAx>
      <c:valAx>
        <c:axId val="1041202696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82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[tremco_campaign_performance_data.xlsx]Conversions by Channel!PivotTable2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'Conversions by Channel'!$B$2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'Conversions by Channel'!$A$3:$A$8</c:f>
              <c:strCache>
                <c:ptCount val="5"/>
                <c:pt idx="0">
                  <c:v>Email</c:v>
                </c:pt>
                <c:pt idx="1">
                  <c:v>Google Ads</c:v>
                </c:pt>
                <c:pt idx="2">
                  <c:v>LinkedIn</c:v>
                </c:pt>
                <c:pt idx="3">
                  <c:v>Trade Show</c:v>
                </c:pt>
                <c:pt idx="4">
                  <c:v>Webinar</c:v>
                </c:pt>
              </c:strCache>
            </c:strRef>
          </c:cat>
          <c:val>
            <c:numRef>
              <c:f>'Conversions by Channel'!$B$3:$B$8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192</c:v>
                </c:pt>
                <c:pt idx="3">
                  <c:v>93</c:v>
                </c:pt>
                <c:pt idx="4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C-49A4-BB3E-E4EFFB6044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1363080"/>
        <c:axId val="1071365128"/>
      </c:barChart>
      <c:catAx>
        <c:axId val="107136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65128"/>
        <c:crosses val="autoZero"/>
        <c:auto val="1"/>
        <c:lblAlgn val="ctr"/>
        <c:lblOffset val="100"/>
        <c:noMultiLvlLbl val="0"/>
      </c:catAx>
      <c:valAx>
        <c:axId val="1071365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63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[tremco_campaign_performance_data.xlsx]Revenue by Campaign!PivotTable1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$#,##0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Campaign'!$B$2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$#,##0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Campaign'!$A$3:$A$11</c:f>
              <c:strCache>
                <c:ptCount val="8"/>
                <c:pt idx="0">
                  <c:v>Commercial Roofing Awareness</c:v>
                </c:pt>
                <c:pt idx="1">
                  <c:v>Corporate Accounts Engagement</c:v>
                </c:pt>
                <c:pt idx="2">
                  <c:v>Healthcare Facility Outreach</c:v>
                </c:pt>
                <c:pt idx="3">
                  <c:v>Institutional Building Solutions</c:v>
                </c:pt>
                <c:pt idx="4">
                  <c:v>National Accounts Growth Campaign</c:v>
                </c:pt>
                <c:pt idx="5">
                  <c:v>Preventive Maintenance Campaign</c:v>
                </c:pt>
                <c:pt idx="6">
                  <c:v>Roof Restoration Lead Campaign</c:v>
                </c:pt>
                <c:pt idx="7">
                  <c:v>Waterproofing Solutions Campaign</c:v>
                </c:pt>
              </c:strCache>
            </c:strRef>
          </c:cat>
          <c:val>
            <c:numRef>
              <c:f>'Revenue by Campaign'!$B$3:$B$11</c:f>
              <c:numCache>
                <c:formatCode>"$"#,##0.00</c:formatCode>
                <c:ptCount val="8"/>
                <c:pt idx="0">
                  <c:v>31000</c:v>
                </c:pt>
                <c:pt idx="1">
                  <c:v>37000</c:v>
                </c:pt>
                <c:pt idx="2">
                  <c:v>52000</c:v>
                </c:pt>
                <c:pt idx="3">
                  <c:v>25000</c:v>
                </c:pt>
                <c:pt idx="4">
                  <c:v>82000</c:v>
                </c:pt>
                <c:pt idx="5">
                  <c:v>62000</c:v>
                </c:pt>
                <c:pt idx="6">
                  <c:v>41000</c:v>
                </c:pt>
                <c:pt idx="7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F-4D2B-B927-4B5F688809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0878216"/>
        <c:axId val="1142083592"/>
      </c:barChart>
      <c:catAx>
        <c:axId val="107087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83592"/>
        <c:crosses val="autoZero"/>
        <c:auto val="1"/>
        <c:lblAlgn val="ctr"/>
        <c:lblOffset val="100"/>
        <c:noMultiLvlLbl val="0"/>
      </c:catAx>
      <c:valAx>
        <c:axId val="1142083592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878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[tremco_campaign_performance_data.xlsx]Revenue by Campaign!PivotTable1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Campaign'!$B$2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Campaign'!$A$3:$A$11</c:f>
              <c:strCache>
                <c:ptCount val="8"/>
                <c:pt idx="0">
                  <c:v>Commercial Roofing Awareness</c:v>
                </c:pt>
                <c:pt idx="1">
                  <c:v>Corporate Accounts Engagement</c:v>
                </c:pt>
                <c:pt idx="2">
                  <c:v>Healthcare Facility Outreach</c:v>
                </c:pt>
                <c:pt idx="3">
                  <c:v>Institutional Building Solutions</c:v>
                </c:pt>
                <c:pt idx="4">
                  <c:v>National Accounts Growth Campaign</c:v>
                </c:pt>
                <c:pt idx="5">
                  <c:v>Preventive Maintenance Campaign</c:v>
                </c:pt>
                <c:pt idx="6">
                  <c:v>Roof Restoration Lead Campaign</c:v>
                </c:pt>
                <c:pt idx="7">
                  <c:v>Waterproofing Solutions Campaign</c:v>
                </c:pt>
              </c:strCache>
            </c:strRef>
          </c:cat>
          <c:val>
            <c:numRef>
              <c:f>'Revenue by Campaign'!$B$3:$B$11</c:f>
              <c:numCache>
                <c:formatCode>"$"#,##0.00</c:formatCode>
                <c:ptCount val="8"/>
                <c:pt idx="0">
                  <c:v>31000</c:v>
                </c:pt>
                <c:pt idx="1">
                  <c:v>37000</c:v>
                </c:pt>
                <c:pt idx="2">
                  <c:v>52000</c:v>
                </c:pt>
                <c:pt idx="3">
                  <c:v>25000</c:v>
                </c:pt>
                <c:pt idx="4">
                  <c:v>82000</c:v>
                </c:pt>
                <c:pt idx="5">
                  <c:v>62000</c:v>
                </c:pt>
                <c:pt idx="6">
                  <c:v>41000</c:v>
                </c:pt>
                <c:pt idx="7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8-41A5-829E-ECFC49A7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878216"/>
        <c:axId val="1142083592"/>
      </c:barChart>
      <c:catAx>
        <c:axId val="107087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83592"/>
        <c:crosses val="autoZero"/>
        <c:auto val="1"/>
        <c:lblAlgn val="ctr"/>
        <c:lblOffset val="100"/>
        <c:noMultiLvlLbl val="0"/>
      </c:catAx>
      <c:valAx>
        <c:axId val="114208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87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[tremco_campaign_performance_data.xlsx]Conversions by Channel!PivotTable2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'Conversions by Channel'!$B$2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'Conversions by Channel'!$A$3:$A$8</c:f>
              <c:strCache>
                <c:ptCount val="5"/>
                <c:pt idx="0">
                  <c:v>Email</c:v>
                </c:pt>
                <c:pt idx="1">
                  <c:v>Google Ads</c:v>
                </c:pt>
                <c:pt idx="2">
                  <c:v>LinkedIn</c:v>
                </c:pt>
                <c:pt idx="3">
                  <c:v>Trade Show</c:v>
                </c:pt>
                <c:pt idx="4">
                  <c:v>Webinar</c:v>
                </c:pt>
              </c:strCache>
            </c:strRef>
          </c:cat>
          <c:val>
            <c:numRef>
              <c:f>'Conversions by Channel'!$B$3:$B$8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192</c:v>
                </c:pt>
                <c:pt idx="3">
                  <c:v>93</c:v>
                </c:pt>
                <c:pt idx="4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B-412D-A3AE-C63D4957A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363080"/>
        <c:axId val="1071365128"/>
      </c:barChart>
      <c:catAx>
        <c:axId val="107136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65128"/>
        <c:crosses val="autoZero"/>
        <c:auto val="1"/>
        <c:lblAlgn val="ctr"/>
        <c:lblOffset val="100"/>
        <c:noMultiLvlLbl val="0"/>
      </c:catAx>
      <c:valAx>
        <c:axId val="107136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363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[tremco_campaign_performance_data.xlsx]Profit by Region!PivotTable3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Region'!$A$3:$A$8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'Profit by Region'!$B$3:$B$8</c:f>
              <c:numCache>
                <c:formatCode>"$"#,##0.00</c:formatCode>
                <c:ptCount val="5"/>
                <c:pt idx="0">
                  <c:v>58700</c:v>
                </c:pt>
                <c:pt idx="1">
                  <c:v>63500</c:v>
                </c:pt>
                <c:pt idx="2">
                  <c:v>20400</c:v>
                </c:pt>
                <c:pt idx="3">
                  <c:v>31800</c:v>
                </c:pt>
                <c:pt idx="4">
                  <c:v>117300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5-4006-B0EA-799ED41F8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082888"/>
        <c:axId val="1041202696"/>
      </c:barChart>
      <c:catAx>
        <c:axId val="10410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02696"/>
        <c:crosses val="autoZero"/>
        <c:auto val="1"/>
        <c:lblAlgn val="ctr"/>
        <c:lblOffset val="100"/>
        <c:noMultiLvlLbl val="0"/>
      </c:catAx>
      <c:valAx>
        <c:axId val="104120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8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16</xdr:row>
      <xdr:rowOff>95250</xdr:rowOff>
    </xdr:from>
    <xdr:to>
      <xdr:col>16</xdr:col>
      <xdr:colOff>495300</xdr:colOff>
      <xdr:row>33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2A6473-F594-42CA-A334-A9A146905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0</xdr:row>
      <xdr:rowOff>152400</xdr:rowOff>
    </xdr:from>
    <xdr:to>
      <xdr:col>16</xdr:col>
      <xdr:colOff>495300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ACE557-3EA3-4100-8602-2AC07F3A3AE8}"/>
            </a:ext>
            <a:ext uri="{147F2762-F138-4A5C-976F-8EAC2B608ADB}">
              <a16:predDERef xmlns:a16="http://schemas.microsoft.com/office/drawing/2014/main" pred="{5B2A6473-F594-42CA-A334-A9A146905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85725</xdr:rowOff>
    </xdr:from>
    <xdr:to>
      <xdr:col>5</xdr:col>
      <xdr:colOff>381000</xdr:colOff>
      <xdr:row>33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CCCDC0-8B15-4264-BC29-2B8210F1A90E}"/>
            </a:ext>
            <a:ext uri="{147F2762-F138-4A5C-976F-8EAC2B608ADB}">
              <a16:predDERef xmlns:a16="http://schemas.microsoft.com/office/drawing/2014/main" pred="{84ACE557-3EA3-4100-8602-2AC07F3A3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180975</xdr:rowOff>
    </xdr:from>
    <xdr:to>
      <xdr:col>14</xdr:col>
      <xdr:colOff>600075</xdr:colOff>
      <xdr:row>21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1486E4-29E2-E0E1-0CD9-6019F2C45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0</xdr:rowOff>
    </xdr:from>
    <xdr:to>
      <xdr:col>11</xdr:col>
      <xdr:colOff>295275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AE068-D655-802E-174B-D24B90F4B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BD2AA-C8C4-BA08-AFF6-DC31E576D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0.035057754627" createdVersion="8" refreshedVersion="8" minRefreshableVersion="3" recordCount="16" xr:uid="{6C6D6EC3-BE1D-4FF7-B683-0674189D107B}">
  <cacheSource type="worksheet">
    <worksheetSource name="Table1"/>
  </cacheSource>
  <cacheFields count="17">
    <cacheField name="Campaign_ID" numFmtId="0">
      <sharedItems containsSemiMixedTypes="0" containsString="0" containsNumber="1" containsInteger="1" minValue="1" maxValue="16"/>
    </cacheField>
    <cacheField name="Campaign_Name" numFmtId="0">
      <sharedItems count="8">
        <s v="Commercial Roofing Awareness"/>
        <s v="Waterproofing Solutions Campaign"/>
        <s v="Healthcare Facility Outreach"/>
        <s v="National Accounts Growth Campaign"/>
        <s v="Roof Restoration Lead Campaign"/>
        <s v="Institutional Building Solutions"/>
        <s v="Corporate Accounts Engagement"/>
        <s v="Preventive Maintenance Campaign"/>
      </sharedItems>
    </cacheField>
    <cacheField name="Date" numFmtId="14">
      <sharedItems containsSemiMixedTypes="0" containsNonDate="0" containsDate="1" containsString="0" minDate="2026-01-05T00:00:00" maxDate="2026-02-28T00:00:00"/>
    </cacheField>
    <cacheField name="Region" numFmtId="0">
      <sharedItems count="5">
        <s v="Northeast"/>
        <s v="Southeast"/>
        <s v="Midwest"/>
        <s v="West"/>
        <s v="Southwest"/>
      </sharedItems>
    </cacheField>
    <cacheField name="Customer_Segment" numFmtId="0">
      <sharedItems/>
    </cacheField>
    <cacheField name="Channel" numFmtId="0">
      <sharedItems count="5">
        <s v="LinkedIn"/>
        <s v="Email"/>
        <s v="Webinar"/>
        <s v="Google Ads"/>
        <s v="Trade Show"/>
      </sharedItems>
    </cacheField>
    <cacheField name="Impressions" numFmtId="165">
      <sharedItems containsSemiMixedTypes="0" containsString="0" containsNumber="1" containsInteger="1" minValue="8000" maxValue="22000"/>
    </cacheField>
    <cacheField name="Clicks" numFmtId="165">
      <sharedItems containsSemiMixedTypes="0" containsString="0" containsNumber="1" containsInteger="1" minValue="400" maxValue="1900"/>
    </cacheField>
    <cacheField name="Leads" numFmtId="0">
      <sharedItems containsSemiMixedTypes="0" containsString="0" containsNumber="1" containsInteger="1" minValue="90" maxValue="320"/>
    </cacheField>
    <cacheField name="Conversions" numFmtId="0">
      <sharedItems containsSemiMixedTypes="0" containsString="0" containsNumber="1" containsInteger="1" minValue="20" maxValue="80"/>
    </cacheField>
    <cacheField name="Cost" numFmtId="164">
      <sharedItems containsSemiMixedTypes="0" containsString="0" containsNumber="1" containsInteger="1" minValue="1800" maxValue="7500"/>
    </cacheField>
    <cacheField name="Revenue" numFmtId="164">
      <sharedItems containsSemiMixedTypes="0" containsString="0" containsNumber="1" containsInteger="1" minValue="9000" maxValue="42000"/>
    </cacheField>
    <cacheField name="CTR" numFmtId="10">
      <sharedItems containsSemiMixedTypes="0" containsString="0" containsNumber="1" minValue="0.05" maxValue="0.09"/>
    </cacheField>
    <cacheField name="Lead_Rate" numFmtId="10">
      <sharedItems containsSemiMixedTypes="0" containsString="0" containsNumber="1" minValue="0.14117647058823529" maxValue="0.25"/>
    </cacheField>
    <cacheField name="Conversion_Rate" numFmtId="10">
      <sharedItems containsSemiMixedTypes="0" containsString="0" containsNumber="1" minValue="0.22222222222222221" maxValue="0.35714285714285715"/>
    </cacheField>
    <cacheField name="ROAS" numFmtId="0">
      <sharedItems containsSemiMixedTypes="0" containsString="0" containsNumber="1" minValue="4.4444444444444446" maxValue="6.1904761904761907"/>
    </cacheField>
    <cacheField name="Profit" numFmtId="164">
      <sharedItems containsSemiMixedTypes="0" containsString="0" containsNumber="1" containsInteger="1" minValue="7200" maxValue="3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"/>
    <x v="0"/>
    <d v="2026-01-05T00:00:00"/>
    <x v="0"/>
    <s v="Commercial"/>
    <x v="0"/>
    <n v="12000"/>
    <n v="850"/>
    <n v="120"/>
    <n v="35"/>
    <n v="3200"/>
    <n v="15000"/>
    <n v="7.0833333333333331E-2"/>
    <n v="0.14117647058823529"/>
    <n v="0.29166666666666669"/>
    <n v="4.6875"/>
    <n v="11800"/>
  </r>
  <r>
    <n v="2"/>
    <x v="1"/>
    <d v="2026-01-08T00:00:00"/>
    <x v="1"/>
    <s v="Healthcare"/>
    <x v="1"/>
    <n v="8000"/>
    <n v="400"/>
    <n v="90"/>
    <n v="20"/>
    <n v="1800"/>
    <n v="9000"/>
    <n v="0.05"/>
    <n v="0.22500000000000001"/>
    <n v="0.22222222222222221"/>
    <n v="5"/>
    <n v="7200"/>
  </r>
  <r>
    <n v="3"/>
    <x v="2"/>
    <d v="2026-01-12T00:00:00"/>
    <x v="2"/>
    <s v="Healthcare"/>
    <x v="2"/>
    <n v="15000"/>
    <n v="1200"/>
    <n v="200"/>
    <n v="60"/>
    <n v="5000"/>
    <n v="25000"/>
    <n v="0.08"/>
    <n v="0.16666666666666666"/>
    <n v="0.3"/>
    <n v="5"/>
    <n v="20000"/>
  </r>
  <r>
    <n v="4"/>
    <x v="3"/>
    <d v="2026-01-15T00:00:00"/>
    <x v="3"/>
    <s v="National Accounts"/>
    <x v="3"/>
    <n v="20000"/>
    <n v="1800"/>
    <n v="300"/>
    <n v="75"/>
    <n v="7000"/>
    <n v="40000"/>
    <n v="0.09"/>
    <n v="0.16666666666666666"/>
    <n v="0.25"/>
    <n v="5.7142857142857144"/>
    <n v="33000"/>
  </r>
  <r>
    <n v="5"/>
    <x v="4"/>
    <d v="2026-01-18T00:00:00"/>
    <x v="4"/>
    <s v="Commercial"/>
    <x v="4"/>
    <n v="10000"/>
    <n v="600"/>
    <n v="150"/>
    <n v="45"/>
    <n v="4500"/>
    <n v="20000"/>
    <n v="0.06"/>
    <n v="0.25"/>
    <n v="0.3"/>
    <n v="4.4444444444444446"/>
    <n v="15500"/>
  </r>
  <r>
    <n v="6"/>
    <x v="5"/>
    <d v="2026-01-20T00:00:00"/>
    <x v="2"/>
    <s v="Institutional"/>
    <x v="1"/>
    <n v="9000"/>
    <n v="500"/>
    <n v="110"/>
    <n v="30"/>
    <n v="2000"/>
    <n v="12000"/>
    <n v="5.5555555555555552E-2"/>
    <n v="0.22"/>
    <n v="0.27272727272727271"/>
    <n v="6"/>
    <n v="10000"/>
  </r>
  <r>
    <n v="7"/>
    <x v="6"/>
    <d v="2026-01-22T00:00:00"/>
    <x v="0"/>
    <s v="Corporate"/>
    <x v="0"/>
    <n v="13000"/>
    <n v="900"/>
    <n v="140"/>
    <n v="50"/>
    <n v="3500"/>
    <n v="18000"/>
    <n v="6.9230769230769235E-2"/>
    <n v="0.15555555555555556"/>
    <n v="0.35714285714285715"/>
    <n v="5.1428571428571432"/>
    <n v="14500"/>
  </r>
  <r>
    <n v="8"/>
    <x v="7"/>
    <d v="2026-01-25T00:00:00"/>
    <x v="3"/>
    <s v="Commercial"/>
    <x v="3"/>
    <n v="17000"/>
    <n v="1400"/>
    <n v="220"/>
    <n v="70"/>
    <n v="6000"/>
    <n v="30000"/>
    <n v="8.2352941176470587E-2"/>
    <n v="0.15714285714285714"/>
    <n v="0.31818181818181818"/>
    <n v="5"/>
    <n v="24000"/>
  </r>
  <r>
    <n v="9"/>
    <x v="0"/>
    <d v="2026-02-02T00:00:00"/>
    <x v="1"/>
    <s v="Commercial"/>
    <x v="1"/>
    <n v="11000"/>
    <n v="750"/>
    <n v="130"/>
    <n v="40"/>
    <n v="2800"/>
    <n v="16000"/>
    <n v="6.8181818181818177E-2"/>
    <n v="0.17333333333333334"/>
    <n v="0.30769230769230771"/>
    <n v="5.7142857142857144"/>
    <n v="13200"/>
  </r>
  <r>
    <n v="10"/>
    <x v="1"/>
    <d v="2026-02-06T00:00:00"/>
    <x v="2"/>
    <s v="Healthcare"/>
    <x v="0"/>
    <n v="14000"/>
    <n v="1000"/>
    <n v="180"/>
    <n v="55"/>
    <n v="4200"/>
    <n v="22000"/>
    <n v="7.1428571428571425E-2"/>
    <n v="0.18"/>
    <n v="0.30555555555555558"/>
    <n v="5.2380952380952381"/>
    <n v="17800"/>
  </r>
  <r>
    <n v="11"/>
    <x v="2"/>
    <d v="2026-02-10T00:00:00"/>
    <x v="0"/>
    <s v="Healthcare"/>
    <x v="2"/>
    <n v="16000"/>
    <n v="1300"/>
    <n v="210"/>
    <n v="65"/>
    <n v="5200"/>
    <n v="27000"/>
    <n v="8.1250000000000003E-2"/>
    <n v="0.16153846153846155"/>
    <n v="0.30952380952380953"/>
    <n v="5.1923076923076925"/>
    <n v="21800"/>
  </r>
  <r>
    <n v="12"/>
    <x v="3"/>
    <d v="2026-02-14T00:00:00"/>
    <x v="3"/>
    <s v="National Accounts"/>
    <x v="3"/>
    <n v="22000"/>
    <n v="1900"/>
    <n v="320"/>
    <n v="80"/>
    <n v="7500"/>
    <n v="42000"/>
    <n v="8.6363636363636365E-2"/>
    <n v="0.16842105263157894"/>
    <n v="0.25"/>
    <n v="5.6"/>
    <n v="34500"/>
  </r>
  <r>
    <n v="13"/>
    <x v="4"/>
    <d v="2026-02-18T00:00:00"/>
    <x v="4"/>
    <s v="Commercial"/>
    <x v="4"/>
    <n v="10500"/>
    <n v="650"/>
    <n v="160"/>
    <n v="48"/>
    <n v="4700"/>
    <n v="21000"/>
    <n v="6.1904761904761907E-2"/>
    <n v="0.24615384615384617"/>
    <n v="0.3"/>
    <n v="4.4680851063829783"/>
    <n v="16300"/>
  </r>
  <r>
    <n v="14"/>
    <x v="5"/>
    <d v="2026-02-20T00:00:00"/>
    <x v="2"/>
    <s v="Institutional"/>
    <x v="1"/>
    <n v="9500"/>
    <n v="550"/>
    <n v="120"/>
    <n v="35"/>
    <n v="2100"/>
    <n v="13000"/>
    <n v="5.7894736842105263E-2"/>
    <n v="0.21818181818181817"/>
    <n v="0.29166666666666669"/>
    <n v="6.1904761904761907"/>
    <n v="10900"/>
  </r>
  <r>
    <n v="15"/>
    <x v="6"/>
    <d v="2026-02-23T00:00:00"/>
    <x v="0"/>
    <s v="Corporate"/>
    <x v="0"/>
    <n v="13500"/>
    <n v="950"/>
    <n v="150"/>
    <n v="52"/>
    <n v="3600"/>
    <n v="19000"/>
    <n v="7.0370370370370375E-2"/>
    <n v="0.15789473684210525"/>
    <n v="0.34666666666666668"/>
    <n v="5.2777777777777777"/>
    <n v="15400"/>
  </r>
  <r>
    <n v="16"/>
    <x v="7"/>
    <d v="2026-02-27T00:00:00"/>
    <x v="3"/>
    <s v="Commercial"/>
    <x v="3"/>
    <n v="18000"/>
    <n v="1500"/>
    <n v="240"/>
    <n v="75"/>
    <n v="6200"/>
    <n v="32000"/>
    <n v="8.3333333333333329E-2"/>
    <n v="0.16"/>
    <n v="0.3125"/>
    <n v="5.161290322580645"/>
    <n v="25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21266-AF8C-4D38-A22A-5C87CA719572}" name="PivotTable1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2:B11" firstHeaderRow="1" firstDataRow="1" firstDataCol="1"/>
  <pivotFields count="17">
    <pivotField compact="0" outline="0" showAll="0"/>
    <pivotField axis="axisRow" compact="0" outline="0" showAll="0">
      <items count="9">
        <item x="0"/>
        <item x="6"/>
        <item x="2"/>
        <item x="5"/>
        <item x="3"/>
        <item x="7"/>
        <item x="4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numFmtId="10" outline="0" showAll="0"/>
    <pivotField compact="0" numFmtId="10" outline="0" showAll="0"/>
    <pivotField compact="0" numFmtId="10" outline="0" showAll="0"/>
    <pivotField compact="0" outline="0" showAll="0"/>
    <pivotField compact="0" numFmtId="164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11" baseField="0" baseItem="0" numFmtId="164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3F8FB-687B-4A05-9C95-11C9E70AE350}" name="PivotTable2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2:B8" firstHeaderRow="1" firstDataRow="1" firstDataCol="1"/>
  <pivotFields count="17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0"/>
        <item x="4"/>
        <item x="2"/>
        <item t="default"/>
      </items>
    </pivotField>
    <pivotField compact="0" numFmtId="165" outline="0" showAll="0"/>
    <pivotField compact="0" numFmtId="165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0" outline="0" showAll="0"/>
    <pivotField compact="0" numFmtId="10" outline="0" showAll="0"/>
    <pivotField compact="0" numFmtId="10" outline="0" showAll="0"/>
    <pivotField compact="0" outline="0" showAll="0"/>
    <pivotField compact="0" numFmtId="164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nversions" fld="9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858B8-C077-481A-800A-54771E33D246}" name="PivotTable3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:B8" firstHeaderRow="1" firstDataRow="1" firstDataCol="1"/>
  <pivotFields count="17"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2"/>
        <item x="0"/>
        <item x="1"/>
        <item x="4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0" outline="0" showAll="0"/>
    <pivotField compact="0" numFmtId="10" outline="0" showAll="0"/>
    <pivotField compact="0" numFmtId="10" outline="0" showAll="0"/>
    <pivotField compact="0" outline="0" showAll="0"/>
    <pivotField dataField="1" compact="0" numFmtId="164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6" baseField="0" baseItem="0" numFmtId="164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7E800-6F61-4F6A-9F9E-A47460597C59}" name="Table1" displayName="Table1" ref="A1:Q17" totalsRowShown="0" headerRowDxfId="10">
  <autoFilter ref="A1:Q17" xr:uid="{B3D7E800-6F61-4F6A-9F9E-A47460597C59}"/>
  <tableColumns count="17">
    <tableColumn id="1" xr3:uid="{5D332F2D-6504-4A0F-9823-8E9DDC24E9BF}" name="Campaign_ID"/>
    <tableColumn id="2" xr3:uid="{8981D535-86A6-4EE9-83D8-F69853D3B377}" name="Campaign_Name"/>
    <tableColumn id="3" xr3:uid="{1A23C0E0-3524-4907-8559-F01BB0ED2634}" name="Date" dataDxfId="9"/>
    <tableColumn id="4" xr3:uid="{04FE7FF7-C48A-4849-8F3F-2A2407B57B33}" name="Region"/>
    <tableColumn id="5" xr3:uid="{14BAB046-1704-4825-A410-16486CE9E2B4}" name="Customer_Segment"/>
    <tableColumn id="6" xr3:uid="{E1394DCF-6937-4807-A534-644D09878335}" name="Channel"/>
    <tableColumn id="7" xr3:uid="{A0E3D93B-0E6D-4337-B4BE-3BF608C3BA02}" name="Impressions" dataDxfId="8"/>
    <tableColumn id="8" xr3:uid="{5213471B-B3A7-4FE9-AA0E-16AB0898960F}" name="Clicks" dataDxfId="7"/>
    <tableColumn id="9" xr3:uid="{3A0C0CD9-9F6B-4C42-9BAF-9160C523F6E4}" name="Leads"/>
    <tableColumn id="10" xr3:uid="{6C191D79-9D3D-481E-AE03-4CBE0DC2AECA}" name="Conversions"/>
    <tableColumn id="11" xr3:uid="{26E2EAD2-A39D-4AC2-ADE6-21149BA1169D}" name="Cost" dataDxfId="6"/>
    <tableColumn id="12" xr3:uid="{62282EB7-74EB-4A16-B841-1037A21479E3}" name="Revenue" dataDxfId="5"/>
    <tableColumn id="13" xr3:uid="{7D490401-17B1-4289-8DF0-F6A4D589AE32}" name="CTR" dataDxfId="4">
      <calculatedColumnFormula>H2/G2</calculatedColumnFormula>
    </tableColumn>
    <tableColumn id="14" xr3:uid="{6B3B64A5-6044-48EC-86D9-42A3A41A2B14}" name="Lead_Rate" dataDxfId="3">
      <calculatedColumnFormula>I2/H2</calculatedColumnFormula>
    </tableColumn>
    <tableColumn id="15" xr3:uid="{D43C12A0-C893-48B6-A114-57B523D18BFC}" name="Conversion_Rate" dataDxfId="2">
      <calculatedColumnFormula>J2/I2</calculatedColumnFormula>
    </tableColumn>
    <tableColumn id="16" xr3:uid="{298F6E71-ED49-45BE-89B8-0AF4287C7BC4}" name="ROAS" dataDxfId="1">
      <calculatedColumnFormula>L2/K2</calculatedColumnFormula>
    </tableColumn>
    <tableColumn id="17" xr3:uid="{F58B5DE9-86FA-459F-A2F1-03701C223C17}" name="Profit" dataDxfId="0">
      <calculatedColumnFormula>L2-K2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workbookViewId="0">
      <selection activeCell="B8" sqref="B8"/>
    </sheetView>
  </sheetViews>
  <sheetFormatPr defaultRowHeight="15"/>
  <cols>
    <col min="1" max="1" width="16.28515625" customWidth="1"/>
    <col min="2" max="2" width="32.85546875" customWidth="1"/>
    <col min="3" max="3" width="11.85546875" customWidth="1"/>
    <col min="4" max="4" width="11.42578125" customWidth="1"/>
    <col min="5" max="5" width="21.85546875" customWidth="1"/>
    <col min="6" max="6" width="12.42578125" customWidth="1"/>
    <col min="7" max="7" width="15.42578125" style="3" customWidth="1"/>
    <col min="8" max="8" width="10.42578125" style="3" customWidth="1"/>
    <col min="9" max="9" width="9.5703125" customWidth="1"/>
    <col min="10" max="10" width="14.42578125" customWidth="1"/>
    <col min="11" max="11" width="10.28515625" style="2" customWidth="1"/>
    <col min="12" max="12" width="12.42578125" style="2" customWidth="1"/>
    <col min="13" max="13" width="15.7109375" style="5" customWidth="1"/>
    <col min="14" max="14" width="15.5703125" style="5" customWidth="1"/>
    <col min="15" max="15" width="23.140625" style="5" customWidth="1"/>
    <col min="16" max="16" width="14" customWidth="1"/>
    <col min="17" max="17" width="13" customWidth="1"/>
  </cols>
  <sheetData>
    <row r="1" spans="1:17" ht="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s="2" t="s">
        <v>10</v>
      </c>
      <c r="L1" s="2" t="s">
        <v>11</v>
      </c>
      <c r="M1" s="5" t="s">
        <v>12</v>
      </c>
      <c r="N1" s="6" t="s">
        <v>13</v>
      </c>
      <c r="O1" s="6" t="s">
        <v>14</v>
      </c>
      <c r="P1" s="4" t="s">
        <v>15</v>
      </c>
      <c r="Q1" s="4" t="s">
        <v>16</v>
      </c>
    </row>
    <row r="2" spans="1:17">
      <c r="A2">
        <v>1</v>
      </c>
      <c r="B2" t="s">
        <v>17</v>
      </c>
      <c r="C2" s="1">
        <v>46027</v>
      </c>
      <c r="D2" t="s">
        <v>18</v>
      </c>
      <c r="E2" t="s">
        <v>19</v>
      </c>
      <c r="F2" t="s">
        <v>20</v>
      </c>
      <c r="G2" s="3">
        <v>12000</v>
      </c>
      <c r="H2" s="3">
        <v>850</v>
      </c>
      <c r="I2">
        <v>120</v>
      </c>
      <c r="J2">
        <v>35</v>
      </c>
      <c r="K2" s="2">
        <v>3200</v>
      </c>
      <c r="L2" s="2">
        <v>15000</v>
      </c>
      <c r="M2" s="5">
        <f t="shared" ref="M2:M17" si="0">H2/G2</f>
        <v>7.0833333333333331E-2</v>
      </c>
      <c r="N2" s="5">
        <f t="shared" ref="N2:N17" si="1">I2/H2</f>
        <v>0.14117647058823529</v>
      </c>
      <c r="O2" s="5">
        <f t="shared" ref="O2:O17" si="2">J2/I2</f>
        <v>0.29166666666666669</v>
      </c>
      <c r="P2">
        <f t="shared" ref="P2:P17" si="3">L2/K2</f>
        <v>4.6875</v>
      </c>
      <c r="Q2" s="2">
        <f t="shared" ref="Q2:Q17" si="4">L2-K2</f>
        <v>11800</v>
      </c>
    </row>
    <row r="3" spans="1:17">
      <c r="A3">
        <v>2</v>
      </c>
      <c r="B3" t="s">
        <v>21</v>
      </c>
      <c r="C3" s="1">
        <v>46030</v>
      </c>
      <c r="D3" t="s">
        <v>22</v>
      </c>
      <c r="E3" t="s">
        <v>23</v>
      </c>
      <c r="F3" t="s">
        <v>24</v>
      </c>
      <c r="G3" s="3">
        <v>8000</v>
      </c>
      <c r="H3" s="3">
        <v>400</v>
      </c>
      <c r="I3">
        <v>90</v>
      </c>
      <c r="J3">
        <v>20</v>
      </c>
      <c r="K3" s="2">
        <v>1800</v>
      </c>
      <c r="L3" s="2">
        <v>9000</v>
      </c>
      <c r="M3" s="5">
        <f t="shared" si="0"/>
        <v>0.05</v>
      </c>
      <c r="N3" s="5">
        <f t="shared" si="1"/>
        <v>0.22500000000000001</v>
      </c>
      <c r="O3" s="5">
        <f t="shared" si="2"/>
        <v>0.22222222222222221</v>
      </c>
      <c r="P3">
        <f t="shared" si="3"/>
        <v>5</v>
      </c>
      <c r="Q3" s="2">
        <f t="shared" si="4"/>
        <v>7200</v>
      </c>
    </row>
    <row r="4" spans="1:17">
      <c r="A4">
        <v>3</v>
      </c>
      <c r="B4" t="s">
        <v>25</v>
      </c>
      <c r="C4" s="1">
        <v>46034</v>
      </c>
      <c r="D4" t="s">
        <v>26</v>
      </c>
      <c r="E4" t="s">
        <v>23</v>
      </c>
      <c r="F4" t="s">
        <v>27</v>
      </c>
      <c r="G4" s="3">
        <v>15000</v>
      </c>
      <c r="H4" s="3">
        <v>1200</v>
      </c>
      <c r="I4">
        <v>200</v>
      </c>
      <c r="J4">
        <v>60</v>
      </c>
      <c r="K4" s="2">
        <v>5000</v>
      </c>
      <c r="L4" s="2">
        <v>25000</v>
      </c>
      <c r="M4" s="5">
        <f t="shared" si="0"/>
        <v>0.08</v>
      </c>
      <c r="N4" s="5">
        <f t="shared" si="1"/>
        <v>0.16666666666666666</v>
      </c>
      <c r="O4" s="5">
        <f t="shared" si="2"/>
        <v>0.3</v>
      </c>
      <c r="P4">
        <f t="shared" si="3"/>
        <v>5</v>
      </c>
      <c r="Q4" s="2">
        <f t="shared" si="4"/>
        <v>20000</v>
      </c>
    </row>
    <row r="5" spans="1:17">
      <c r="A5">
        <v>4</v>
      </c>
      <c r="B5" t="s">
        <v>28</v>
      </c>
      <c r="C5" s="1">
        <v>46037</v>
      </c>
      <c r="D5" t="s">
        <v>29</v>
      </c>
      <c r="E5" t="s">
        <v>30</v>
      </c>
      <c r="F5" t="s">
        <v>31</v>
      </c>
      <c r="G5" s="3">
        <v>20000</v>
      </c>
      <c r="H5" s="3">
        <v>1800</v>
      </c>
      <c r="I5">
        <v>300</v>
      </c>
      <c r="J5">
        <v>75</v>
      </c>
      <c r="K5" s="2">
        <v>7000</v>
      </c>
      <c r="L5" s="2">
        <v>40000</v>
      </c>
      <c r="M5" s="5">
        <f t="shared" si="0"/>
        <v>0.09</v>
      </c>
      <c r="N5" s="5">
        <f t="shared" si="1"/>
        <v>0.16666666666666666</v>
      </c>
      <c r="O5" s="5">
        <f t="shared" si="2"/>
        <v>0.25</v>
      </c>
      <c r="P5">
        <f t="shared" si="3"/>
        <v>5.7142857142857144</v>
      </c>
      <c r="Q5" s="2">
        <f t="shared" si="4"/>
        <v>33000</v>
      </c>
    </row>
    <row r="6" spans="1:17">
      <c r="A6">
        <v>5</v>
      </c>
      <c r="B6" t="s">
        <v>32</v>
      </c>
      <c r="C6" s="1">
        <v>46040</v>
      </c>
      <c r="D6" t="s">
        <v>33</v>
      </c>
      <c r="E6" t="s">
        <v>19</v>
      </c>
      <c r="F6" t="s">
        <v>34</v>
      </c>
      <c r="G6" s="3">
        <v>10000</v>
      </c>
      <c r="H6" s="3">
        <v>600</v>
      </c>
      <c r="I6">
        <v>150</v>
      </c>
      <c r="J6">
        <v>45</v>
      </c>
      <c r="K6" s="2">
        <v>4500</v>
      </c>
      <c r="L6" s="2">
        <v>20000</v>
      </c>
      <c r="M6" s="5">
        <f t="shared" si="0"/>
        <v>0.06</v>
      </c>
      <c r="N6" s="5">
        <f t="shared" si="1"/>
        <v>0.25</v>
      </c>
      <c r="O6" s="5">
        <f t="shared" si="2"/>
        <v>0.3</v>
      </c>
      <c r="P6">
        <f t="shared" si="3"/>
        <v>4.4444444444444446</v>
      </c>
      <c r="Q6" s="2">
        <f t="shared" si="4"/>
        <v>15500</v>
      </c>
    </row>
    <row r="7" spans="1:17">
      <c r="A7">
        <v>6</v>
      </c>
      <c r="B7" t="s">
        <v>35</v>
      </c>
      <c r="C7" s="1">
        <v>46042</v>
      </c>
      <c r="D7" t="s">
        <v>26</v>
      </c>
      <c r="E7" t="s">
        <v>36</v>
      </c>
      <c r="F7" t="s">
        <v>24</v>
      </c>
      <c r="G7" s="3">
        <v>9000</v>
      </c>
      <c r="H7" s="3">
        <v>500</v>
      </c>
      <c r="I7">
        <v>110</v>
      </c>
      <c r="J7">
        <v>30</v>
      </c>
      <c r="K7" s="2">
        <v>2000</v>
      </c>
      <c r="L7" s="2">
        <v>12000</v>
      </c>
      <c r="M7" s="5">
        <f t="shared" si="0"/>
        <v>5.5555555555555552E-2</v>
      </c>
      <c r="N7" s="5">
        <f t="shared" si="1"/>
        <v>0.22</v>
      </c>
      <c r="O7" s="5">
        <f t="shared" si="2"/>
        <v>0.27272727272727271</v>
      </c>
      <c r="P7">
        <f t="shared" si="3"/>
        <v>6</v>
      </c>
      <c r="Q7" s="2">
        <f t="shared" si="4"/>
        <v>10000</v>
      </c>
    </row>
    <row r="8" spans="1:17">
      <c r="A8">
        <v>7</v>
      </c>
      <c r="B8" t="s">
        <v>37</v>
      </c>
      <c r="C8" s="1">
        <v>46044</v>
      </c>
      <c r="D8" t="s">
        <v>18</v>
      </c>
      <c r="E8" t="s">
        <v>38</v>
      </c>
      <c r="F8" t="s">
        <v>20</v>
      </c>
      <c r="G8" s="3">
        <v>13000</v>
      </c>
      <c r="H8" s="3">
        <v>900</v>
      </c>
      <c r="I8">
        <v>140</v>
      </c>
      <c r="J8">
        <v>50</v>
      </c>
      <c r="K8" s="2">
        <v>3500</v>
      </c>
      <c r="L8" s="2">
        <v>18000</v>
      </c>
      <c r="M8" s="5">
        <f t="shared" si="0"/>
        <v>6.9230769230769235E-2</v>
      </c>
      <c r="N8" s="5">
        <f t="shared" si="1"/>
        <v>0.15555555555555556</v>
      </c>
      <c r="O8" s="5">
        <f t="shared" si="2"/>
        <v>0.35714285714285715</v>
      </c>
      <c r="P8">
        <f t="shared" si="3"/>
        <v>5.1428571428571432</v>
      </c>
      <c r="Q8" s="2">
        <f t="shared" si="4"/>
        <v>14500</v>
      </c>
    </row>
    <row r="9" spans="1:17">
      <c r="A9">
        <v>8</v>
      </c>
      <c r="B9" t="s">
        <v>39</v>
      </c>
      <c r="C9" s="1">
        <v>46047</v>
      </c>
      <c r="D9" t="s">
        <v>29</v>
      </c>
      <c r="E9" t="s">
        <v>19</v>
      </c>
      <c r="F9" t="s">
        <v>31</v>
      </c>
      <c r="G9" s="3">
        <v>17000</v>
      </c>
      <c r="H9" s="3">
        <v>1400</v>
      </c>
      <c r="I9">
        <v>220</v>
      </c>
      <c r="J9">
        <v>70</v>
      </c>
      <c r="K9" s="2">
        <v>6000</v>
      </c>
      <c r="L9" s="2">
        <v>30000</v>
      </c>
      <c r="M9" s="5">
        <f t="shared" si="0"/>
        <v>8.2352941176470587E-2</v>
      </c>
      <c r="N9" s="5">
        <f t="shared" si="1"/>
        <v>0.15714285714285714</v>
      </c>
      <c r="O9" s="5">
        <f t="shared" si="2"/>
        <v>0.31818181818181818</v>
      </c>
      <c r="P9">
        <f t="shared" si="3"/>
        <v>5</v>
      </c>
      <c r="Q9" s="2">
        <f t="shared" si="4"/>
        <v>24000</v>
      </c>
    </row>
    <row r="10" spans="1:17">
      <c r="A10">
        <v>9</v>
      </c>
      <c r="B10" t="s">
        <v>17</v>
      </c>
      <c r="C10" s="1">
        <v>46055</v>
      </c>
      <c r="D10" t="s">
        <v>22</v>
      </c>
      <c r="E10" t="s">
        <v>19</v>
      </c>
      <c r="F10" t="s">
        <v>24</v>
      </c>
      <c r="G10" s="3">
        <v>11000</v>
      </c>
      <c r="H10" s="3">
        <v>750</v>
      </c>
      <c r="I10">
        <v>130</v>
      </c>
      <c r="J10">
        <v>40</v>
      </c>
      <c r="K10" s="2">
        <v>2800</v>
      </c>
      <c r="L10" s="2">
        <v>16000</v>
      </c>
      <c r="M10" s="5">
        <f t="shared" si="0"/>
        <v>6.8181818181818177E-2</v>
      </c>
      <c r="N10" s="5">
        <f t="shared" si="1"/>
        <v>0.17333333333333334</v>
      </c>
      <c r="O10" s="5">
        <f t="shared" si="2"/>
        <v>0.30769230769230771</v>
      </c>
      <c r="P10">
        <f t="shared" si="3"/>
        <v>5.7142857142857144</v>
      </c>
      <c r="Q10" s="2">
        <f t="shared" si="4"/>
        <v>13200</v>
      </c>
    </row>
    <row r="11" spans="1:17">
      <c r="A11">
        <v>10</v>
      </c>
      <c r="B11" t="s">
        <v>21</v>
      </c>
      <c r="C11" s="1">
        <v>46059</v>
      </c>
      <c r="D11" t="s">
        <v>26</v>
      </c>
      <c r="E11" t="s">
        <v>23</v>
      </c>
      <c r="F11" t="s">
        <v>20</v>
      </c>
      <c r="G11" s="3">
        <v>14000</v>
      </c>
      <c r="H11" s="3">
        <v>1000</v>
      </c>
      <c r="I11">
        <v>180</v>
      </c>
      <c r="J11">
        <v>55</v>
      </c>
      <c r="K11" s="2">
        <v>4200</v>
      </c>
      <c r="L11" s="2">
        <v>22000</v>
      </c>
      <c r="M11" s="5">
        <f t="shared" si="0"/>
        <v>7.1428571428571425E-2</v>
      </c>
      <c r="N11" s="5">
        <f t="shared" si="1"/>
        <v>0.18</v>
      </c>
      <c r="O11" s="5">
        <f t="shared" si="2"/>
        <v>0.30555555555555558</v>
      </c>
      <c r="P11">
        <f t="shared" si="3"/>
        <v>5.2380952380952381</v>
      </c>
      <c r="Q11" s="2">
        <f t="shared" si="4"/>
        <v>17800</v>
      </c>
    </row>
    <row r="12" spans="1:17">
      <c r="A12">
        <v>11</v>
      </c>
      <c r="B12" t="s">
        <v>25</v>
      </c>
      <c r="C12" s="1">
        <v>46063</v>
      </c>
      <c r="D12" t="s">
        <v>18</v>
      </c>
      <c r="E12" t="s">
        <v>23</v>
      </c>
      <c r="F12" t="s">
        <v>27</v>
      </c>
      <c r="G12" s="3">
        <v>16000</v>
      </c>
      <c r="H12" s="3">
        <v>1300</v>
      </c>
      <c r="I12">
        <v>210</v>
      </c>
      <c r="J12">
        <v>65</v>
      </c>
      <c r="K12" s="2">
        <v>5200</v>
      </c>
      <c r="L12" s="2">
        <v>27000</v>
      </c>
      <c r="M12" s="5">
        <f t="shared" si="0"/>
        <v>8.1250000000000003E-2</v>
      </c>
      <c r="N12" s="5">
        <f t="shared" si="1"/>
        <v>0.16153846153846155</v>
      </c>
      <c r="O12" s="5">
        <f t="shared" si="2"/>
        <v>0.30952380952380953</v>
      </c>
      <c r="P12">
        <f t="shared" si="3"/>
        <v>5.1923076923076925</v>
      </c>
      <c r="Q12" s="2">
        <f t="shared" si="4"/>
        <v>21800</v>
      </c>
    </row>
    <row r="13" spans="1:17">
      <c r="A13">
        <v>12</v>
      </c>
      <c r="B13" t="s">
        <v>28</v>
      </c>
      <c r="C13" s="1">
        <v>46067</v>
      </c>
      <c r="D13" t="s">
        <v>29</v>
      </c>
      <c r="E13" t="s">
        <v>30</v>
      </c>
      <c r="F13" t="s">
        <v>31</v>
      </c>
      <c r="G13" s="3">
        <v>22000</v>
      </c>
      <c r="H13" s="3">
        <v>1900</v>
      </c>
      <c r="I13">
        <v>320</v>
      </c>
      <c r="J13">
        <v>80</v>
      </c>
      <c r="K13" s="2">
        <v>7500</v>
      </c>
      <c r="L13" s="2">
        <v>42000</v>
      </c>
      <c r="M13" s="5">
        <f t="shared" si="0"/>
        <v>8.6363636363636365E-2</v>
      </c>
      <c r="N13" s="5">
        <f t="shared" si="1"/>
        <v>0.16842105263157894</v>
      </c>
      <c r="O13" s="5">
        <f t="shared" si="2"/>
        <v>0.25</v>
      </c>
      <c r="P13">
        <f t="shared" si="3"/>
        <v>5.6</v>
      </c>
      <c r="Q13" s="2">
        <f t="shared" si="4"/>
        <v>34500</v>
      </c>
    </row>
    <row r="14" spans="1:17">
      <c r="A14">
        <v>13</v>
      </c>
      <c r="B14" t="s">
        <v>32</v>
      </c>
      <c r="C14" s="1">
        <v>46071</v>
      </c>
      <c r="D14" t="s">
        <v>33</v>
      </c>
      <c r="E14" t="s">
        <v>19</v>
      </c>
      <c r="F14" t="s">
        <v>34</v>
      </c>
      <c r="G14" s="3">
        <v>10500</v>
      </c>
      <c r="H14" s="3">
        <v>650</v>
      </c>
      <c r="I14">
        <v>160</v>
      </c>
      <c r="J14">
        <v>48</v>
      </c>
      <c r="K14" s="2">
        <v>4700</v>
      </c>
      <c r="L14" s="2">
        <v>21000</v>
      </c>
      <c r="M14" s="5">
        <f t="shared" si="0"/>
        <v>6.1904761904761907E-2</v>
      </c>
      <c r="N14" s="5">
        <f t="shared" si="1"/>
        <v>0.24615384615384617</v>
      </c>
      <c r="O14" s="5">
        <f t="shared" si="2"/>
        <v>0.3</v>
      </c>
      <c r="P14">
        <f t="shared" si="3"/>
        <v>4.4680851063829783</v>
      </c>
      <c r="Q14" s="2">
        <f t="shared" si="4"/>
        <v>16300</v>
      </c>
    </row>
    <row r="15" spans="1:17">
      <c r="A15">
        <v>14</v>
      </c>
      <c r="B15" t="s">
        <v>35</v>
      </c>
      <c r="C15" s="1">
        <v>46073</v>
      </c>
      <c r="D15" t="s">
        <v>26</v>
      </c>
      <c r="E15" t="s">
        <v>36</v>
      </c>
      <c r="F15" t="s">
        <v>24</v>
      </c>
      <c r="G15" s="3">
        <v>9500</v>
      </c>
      <c r="H15" s="3">
        <v>550</v>
      </c>
      <c r="I15">
        <v>120</v>
      </c>
      <c r="J15">
        <v>35</v>
      </c>
      <c r="K15" s="2">
        <v>2100</v>
      </c>
      <c r="L15" s="2">
        <v>13000</v>
      </c>
      <c r="M15" s="5">
        <f t="shared" si="0"/>
        <v>5.7894736842105263E-2</v>
      </c>
      <c r="N15" s="5">
        <f t="shared" si="1"/>
        <v>0.21818181818181817</v>
      </c>
      <c r="O15" s="5">
        <f t="shared" si="2"/>
        <v>0.29166666666666669</v>
      </c>
      <c r="P15">
        <f t="shared" si="3"/>
        <v>6.1904761904761907</v>
      </c>
      <c r="Q15" s="2">
        <f t="shared" si="4"/>
        <v>10900</v>
      </c>
    </row>
    <row r="16" spans="1:17">
      <c r="A16">
        <v>15</v>
      </c>
      <c r="B16" t="s">
        <v>37</v>
      </c>
      <c r="C16" s="1">
        <v>46076</v>
      </c>
      <c r="D16" t="s">
        <v>18</v>
      </c>
      <c r="E16" t="s">
        <v>38</v>
      </c>
      <c r="F16" t="s">
        <v>20</v>
      </c>
      <c r="G16" s="3">
        <v>13500</v>
      </c>
      <c r="H16" s="3">
        <v>950</v>
      </c>
      <c r="I16">
        <v>150</v>
      </c>
      <c r="J16">
        <v>52</v>
      </c>
      <c r="K16" s="2">
        <v>3600</v>
      </c>
      <c r="L16" s="2">
        <v>19000</v>
      </c>
      <c r="M16" s="5">
        <f t="shared" si="0"/>
        <v>7.0370370370370375E-2</v>
      </c>
      <c r="N16" s="5">
        <f t="shared" si="1"/>
        <v>0.15789473684210525</v>
      </c>
      <c r="O16" s="5">
        <f t="shared" si="2"/>
        <v>0.34666666666666668</v>
      </c>
      <c r="P16">
        <f t="shared" si="3"/>
        <v>5.2777777777777777</v>
      </c>
      <c r="Q16" s="2">
        <f t="shared" si="4"/>
        <v>15400</v>
      </c>
    </row>
    <row r="17" spans="1:17">
      <c r="A17">
        <v>16</v>
      </c>
      <c r="B17" t="s">
        <v>39</v>
      </c>
      <c r="C17" s="1">
        <v>46080</v>
      </c>
      <c r="D17" t="s">
        <v>29</v>
      </c>
      <c r="E17" t="s">
        <v>19</v>
      </c>
      <c r="F17" t="s">
        <v>31</v>
      </c>
      <c r="G17" s="3">
        <v>18000</v>
      </c>
      <c r="H17" s="3">
        <v>1500</v>
      </c>
      <c r="I17">
        <v>240</v>
      </c>
      <c r="J17">
        <v>75</v>
      </c>
      <c r="K17" s="2">
        <v>6200</v>
      </c>
      <c r="L17" s="2">
        <v>32000</v>
      </c>
      <c r="M17" s="5">
        <f t="shared" si="0"/>
        <v>8.3333333333333329E-2</v>
      </c>
      <c r="N17" s="5">
        <f t="shared" si="1"/>
        <v>0.16</v>
      </c>
      <c r="O17" s="5">
        <f t="shared" si="2"/>
        <v>0.3125</v>
      </c>
      <c r="P17">
        <f t="shared" si="3"/>
        <v>5.161290322580645</v>
      </c>
      <c r="Q17" s="2">
        <f t="shared" si="4"/>
        <v>25800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7A28-E0EB-440A-ADC8-A9F50BFBE05A}">
  <dimension ref="B3:C16"/>
  <sheetViews>
    <sheetView showGridLines="0" showRowColHeaders="0" workbookViewId="0"/>
  </sheetViews>
  <sheetFormatPr defaultRowHeight="15"/>
  <cols>
    <col min="2" max="2" width="60.85546875" customWidth="1"/>
    <col min="3" max="3" width="15" customWidth="1"/>
  </cols>
  <sheetData>
    <row r="3" spans="2:3" ht="17.25">
      <c r="B3" s="18" t="s">
        <v>40</v>
      </c>
      <c r="C3" s="11"/>
    </row>
    <row r="4" spans="2:3" ht="15.75">
      <c r="B4" s="12" t="s">
        <v>41</v>
      </c>
      <c r="C4" s="13">
        <f>SUM('Data Table'!L:L)</f>
        <v>361000</v>
      </c>
    </row>
    <row r="5" spans="2:3" ht="15.75">
      <c r="B5" s="12" t="s">
        <v>42</v>
      </c>
      <c r="C5" s="13">
        <f>SUM('Data Table'!K:K)</f>
        <v>69300</v>
      </c>
    </row>
    <row r="6" spans="2:3" ht="15.75">
      <c r="B6" s="12" t="s">
        <v>43</v>
      </c>
      <c r="C6" s="13">
        <f>SUM('Data Table'!Q:Q)</f>
        <v>291700</v>
      </c>
    </row>
    <row r="7" spans="2:3" ht="15.75">
      <c r="B7" s="12" t="s">
        <v>44</v>
      </c>
      <c r="C7" s="14">
        <f>SUM('Data Table'!J:J)</f>
        <v>835</v>
      </c>
    </row>
    <row r="8" spans="2:3" ht="15.75">
      <c r="B8" s="12" t="s">
        <v>45</v>
      </c>
      <c r="C8" s="15">
        <f>AVERAGE('Data Table'!M:M)</f>
        <v>7.1168739232545353E-2</v>
      </c>
    </row>
    <row r="9" spans="2:3" ht="15.75">
      <c r="B9" s="12" t="s">
        <v>46</v>
      </c>
      <c r="C9" s="15">
        <f>AVERAGE('Data Table'!O:O)</f>
        <v>0.29597161519036519</v>
      </c>
    </row>
    <row r="10" spans="2:3" ht="15.75">
      <c r="B10" s="16" t="s">
        <v>47</v>
      </c>
      <c r="C10" s="17">
        <f>AVERAGE('Data Table'!P:P)</f>
        <v>5.2394628339683456</v>
      </c>
    </row>
    <row r="12" spans="2:3">
      <c r="B12" s="9" t="s">
        <v>48</v>
      </c>
    </row>
    <row r="13" spans="2:3" ht="19.5" customHeight="1">
      <c r="B13" s="10" t="s">
        <v>49</v>
      </c>
    </row>
    <row r="14" spans="2:3" ht="20.25" customHeight="1">
      <c r="B14" s="10" t="s">
        <v>50</v>
      </c>
    </row>
    <row r="15" spans="2:3" ht="19.5" customHeight="1">
      <c r="B15" s="10" t="s">
        <v>51</v>
      </c>
    </row>
    <row r="16" spans="2:3">
      <c r="B16" s="8" t="s">
        <v>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BBCD-37D9-46F8-803F-CD654C44E950}">
  <dimension ref="A2:B11"/>
  <sheetViews>
    <sheetView workbookViewId="0">
      <selection activeCell="C31" sqref="C31"/>
    </sheetView>
  </sheetViews>
  <sheetFormatPr defaultRowHeight="15"/>
  <cols>
    <col min="1" max="1" width="34.140625" bestFit="1" customWidth="1"/>
    <col min="2" max="2" width="15.7109375" bestFit="1" customWidth="1"/>
  </cols>
  <sheetData>
    <row r="2" spans="1:2">
      <c r="A2" s="7" t="s">
        <v>1</v>
      </c>
      <c r="B2" t="s">
        <v>52</v>
      </c>
    </row>
    <row r="3" spans="1:2">
      <c r="A3" t="s">
        <v>17</v>
      </c>
      <c r="B3" s="2">
        <v>31000</v>
      </c>
    </row>
    <row r="4" spans="1:2">
      <c r="A4" t="s">
        <v>37</v>
      </c>
      <c r="B4" s="2">
        <v>37000</v>
      </c>
    </row>
    <row r="5" spans="1:2">
      <c r="A5" t="s">
        <v>25</v>
      </c>
      <c r="B5" s="2">
        <v>52000</v>
      </c>
    </row>
    <row r="6" spans="1:2">
      <c r="A6" t="s">
        <v>35</v>
      </c>
      <c r="B6" s="2">
        <v>25000</v>
      </c>
    </row>
    <row r="7" spans="1:2">
      <c r="A7" t="s">
        <v>28</v>
      </c>
      <c r="B7" s="2">
        <v>82000</v>
      </c>
    </row>
    <row r="8" spans="1:2">
      <c r="A8" t="s">
        <v>39</v>
      </c>
      <c r="B8" s="2">
        <v>62000</v>
      </c>
    </row>
    <row r="9" spans="1:2">
      <c r="A9" t="s">
        <v>32</v>
      </c>
      <c r="B9" s="2">
        <v>41000</v>
      </c>
    </row>
    <row r="10" spans="1:2">
      <c r="A10" t="s">
        <v>21</v>
      </c>
      <c r="B10" s="2">
        <v>31000</v>
      </c>
    </row>
    <row r="11" spans="1:2">
      <c r="A11" t="s">
        <v>53</v>
      </c>
      <c r="B11" s="2">
        <v>361000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0E27-0864-4D04-A08F-DAA09AD8328B}">
  <dimension ref="A2:B8"/>
  <sheetViews>
    <sheetView workbookViewId="0">
      <selection activeCell="P17" sqref="P17"/>
    </sheetView>
  </sheetViews>
  <sheetFormatPr defaultRowHeight="15"/>
  <cols>
    <col min="1" max="1" width="13.7109375" customWidth="1"/>
    <col min="2" max="2" width="19" bestFit="1" customWidth="1"/>
  </cols>
  <sheetData>
    <row r="2" spans="1:2">
      <c r="A2" s="7" t="s">
        <v>5</v>
      </c>
      <c r="B2" t="s">
        <v>54</v>
      </c>
    </row>
    <row r="3" spans="1:2">
      <c r="A3" t="s">
        <v>24</v>
      </c>
      <c r="B3">
        <v>125</v>
      </c>
    </row>
    <row r="4" spans="1:2">
      <c r="A4" t="s">
        <v>31</v>
      </c>
      <c r="B4">
        <v>300</v>
      </c>
    </row>
    <row r="5" spans="1:2">
      <c r="A5" t="s">
        <v>20</v>
      </c>
      <c r="B5">
        <v>192</v>
      </c>
    </row>
    <row r="6" spans="1:2">
      <c r="A6" t="s">
        <v>34</v>
      </c>
      <c r="B6">
        <v>93</v>
      </c>
    </row>
    <row r="7" spans="1:2">
      <c r="A7" t="s">
        <v>27</v>
      </c>
      <c r="B7">
        <v>125</v>
      </c>
    </row>
    <row r="8" spans="1:2">
      <c r="A8" t="s">
        <v>53</v>
      </c>
      <c r="B8">
        <v>835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B2DB-5210-4A8F-BF98-7CEE3EB2AC11}">
  <dimension ref="A2:B8"/>
  <sheetViews>
    <sheetView tabSelected="1" workbookViewId="0">
      <selection activeCell="I26" sqref="I26"/>
    </sheetView>
  </sheetViews>
  <sheetFormatPr defaultRowHeight="15"/>
  <cols>
    <col min="1" max="1" width="13.140625" customWidth="1"/>
    <col min="2" max="2" width="14.5703125" customWidth="1"/>
  </cols>
  <sheetData>
    <row r="2" spans="1:2">
      <c r="A2" s="7" t="s">
        <v>3</v>
      </c>
      <c r="B2" t="s">
        <v>55</v>
      </c>
    </row>
    <row r="3" spans="1:2">
      <c r="A3" t="s">
        <v>26</v>
      </c>
      <c r="B3" s="2">
        <v>58700</v>
      </c>
    </row>
    <row r="4" spans="1:2">
      <c r="A4" t="s">
        <v>18</v>
      </c>
      <c r="B4" s="2">
        <v>63500</v>
      </c>
    </row>
    <row r="5" spans="1:2">
      <c r="A5" t="s">
        <v>22</v>
      </c>
      <c r="B5" s="2">
        <v>20400</v>
      </c>
    </row>
    <row r="6" spans="1:2">
      <c r="A6" t="s">
        <v>33</v>
      </c>
      <c r="B6" s="2">
        <v>31800</v>
      </c>
    </row>
    <row r="7" spans="1:2">
      <c r="A7" t="s">
        <v>29</v>
      </c>
      <c r="B7" s="2">
        <v>117300</v>
      </c>
    </row>
    <row r="8" spans="1:2">
      <c r="A8" t="s">
        <v>53</v>
      </c>
      <c r="B8" s="2">
        <v>291700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2026-04-28T05:13:49Z</dcterms:created>
  <dcterms:modified xsi:type="dcterms:W3CDTF">2026-05-05T08:20:12Z</dcterms:modified>
  <cp:category/>
  <cp:contentStatus/>
</cp:coreProperties>
</file>